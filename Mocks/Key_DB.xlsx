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OneDrive\Desktop\Projects\Ideas\CLAUD\RecallTxtChecker\Mocks\"/>
    </mc:Choice>
  </mc:AlternateContent>
  <xr:revisionPtr revIDLastSave="0" documentId="13_ncr:1_{8A39B6D2-8BE0-4D78-8CFB-8CC06960D7CD}" xr6:coauthVersionLast="47" xr6:coauthVersionMax="47" xr10:uidLastSave="{00000000-0000-0000-0000-000000000000}"/>
  <bookViews>
    <workbookView xWindow="-120" yWindow="-120" windowWidth="29040" windowHeight="15720" xr2:uid="{0B279F4D-AF20-45DA-A861-4760F6419F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1" i="1" l="1"/>
  <c r="Q21" i="1" s="1"/>
  <c r="N20" i="1"/>
  <c r="Q20" i="1" s="1"/>
  <c r="N19" i="1"/>
  <c r="Q19" i="1" s="1"/>
  <c r="N18" i="1"/>
  <c r="Q18" i="1" s="1"/>
  <c r="N17" i="1"/>
  <c r="P17" i="1" s="1"/>
  <c r="N4" i="1"/>
  <c r="Q4" i="1" s="1"/>
  <c r="N3" i="1"/>
  <c r="Q3" i="1" s="1"/>
  <c r="N2" i="1"/>
  <c r="Q2" i="1" s="1"/>
  <c r="N5" i="1"/>
  <c r="Q5" i="1" s="1"/>
  <c r="N15" i="1"/>
  <c r="P15" i="1" s="1"/>
  <c r="N14" i="1"/>
  <c r="P14" i="1" s="1"/>
  <c r="N13" i="1"/>
  <c r="P13" i="1" s="1"/>
  <c r="N12" i="1"/>
  <c r="Q12" i="1" s="1"/>
  <c r="N11" i="1"/>
  <c r="P11" i="1" s="1"/>
  <c r="N10" i="1"/>
  <c r="Q10" i="1" s="1"/>
  <c r="N9" i="1"/>
  <c r="Q9" i="1" s="1"/>
  <c r="N8" i="1"/>
  <c r="Q8" i="1" s="1"/>
  <c r="N7" i="1"/>
  <c r="P7" i="1" s="1"/>
  <c r="Q15" i="1"/>
  <c r="N6" i="1"/>
  <c r="Q6" i="1" s="1"/>
  <c r="P18" i="1" l="1"/>
  <c r="R18" i="1" s="1"/>
  <c r="P20" i="1"/>
  <c r="R20" i="1" s="1"/>
  <c r="P21" i="1"/>
  <c r="R21" i="1" s="1"/>
  <c r="P19" i="1"/>
  <c r="R19" i="1" s="1"/>
  <c r="Q17" i="1"/>
  <c r="R17" i="1" s="1"/>
  <c r="P8" i="1"/>
  <c r="P9" i="1"/>
  <c r="P2" i="1"/>
  <c r="P10" i="1"/>
  <c r="P3" i="1"/>
  <c r="R3" i="1" s="1"/>
  <c r="P4" i="1"/>
  <c r="P12" i="1"/>
  <c r="P5" i="1"/>
  <c r="R5" i="1" s="1"/>
  <c r="P6" i="1"/>
  <c r="R2" i="1"/>
  <c r="R8" i="1"/>
  <c r="R4" i="1"/>
  <c r="Q11" i="1"/>
  <c r="R11" i="1" s="1"/>
  <c r="R12" i="1"/>
  <c r="R6" i="1"/>
  <c r="R15" i="1"/>
  <c r="R10" i="1"/>
  <c r="Q7" i="1"/>
  <c r="R7" i="1" s="1"/>
  <c r="Q14" i="1"/>
  <c r="R14" i="1" s="1"/>
  <c r="Q13" i="1"/>
  <c r="R13" i="1" s="1"/>
  <c r="R9" i="1"/>
</calcChain>
</file>

<file path=xl/sharedStrings.xml><?xml version="1.0" encoding="utf-8"?>
<sst xmlns="http://schemas.openxmlformats.org/spreadsheetml/2006/main" count="179" uniqueCount="88">
  <si>
    <t>End User</t>
  </si>
  <si>
    <t>RO</t>
  </si>
  <si>
    <t>VIN</t>
  </si>
  <si>
    <t>Year</t>
  </si>
  <si>
    <t>Make</t>
  </si>
  <si>
    <t>Model</t>
  </si>
  <si>
    <t>Type</t>
  </si>
  <si>
    <t>Key Fob Part #</t>
  </si>
  <si>
    <t>Key Fob Cost</t>
  </si>
  <si>
    <t>Key Blank Part #</t>
  </si>
  <si>
    <t>Key Blank Cost</t>
  </si>
  <si>
    <t>Programming Cost</t>
  </si>
  <si>
    <t>Total Cost</t>
  </si>
  <si>
    <t>Discount Needed (30% Markup)</t>
  </si>
  <si>
    <t>Final Charge</t>
  </si>
  <si>
    <t>Offset Eligible</t>
  </si>
  <si>
    <t>Internal</t>
  </si>
  <si>
    <t>Ford</t>
  </si>
  <si>
    <t>1FMSK8DH8NGC33636</t>
  </si>
  <si>
    <t xml:space="preserve">Ford </t>
  </si>
  <si>
    <t>Explorer</t>
  </si>
  <si>
    <t>Fob</t>
  </si>
  <si>
    <t>N</t>
  </si>
  <si>
    <t>Chevy</t>
  </si>
  <si>
    <t>1FMSK8JH1MGC19418</t>
  </si>
  <si>
    <t>2GC4YNE75R1134470</t>
  </si>
  <si>
    <t>Silverado</t>
  </si>
  <si>
    <t>Y</t>
  </si>
  <si>
    <t>Bid Lot</t>
  </si>
  <si>
    <t>4T1BF28B31U138923</t>
  </si>
  <si>
    <t>Toyota</t>
  </si>
  <si>
    <t>Avalon</t>
  </si>
  <si>
    <t>Turnkey</t>
  </si>
  <si>
    <t>--</t>
  </si>
  <si>
    <t>-</t>
  </si>
  <si>
    <t>90999-00185</t>
  </si>
  <si>
    <t>1C3CDFAAXGD606909</t>
  </si>
  <si>
    <t>Dodge</t>
  </si>
  <si>
    <t>Dart</t>
  </si>
  <si>
    <t>56046771AA</t>
  </si>
  <si>
    <t>68029829AB</t>
  </si>
  <si>
    <t>3C6UR5DJ1RG303215</t>
  </si>
  <si>
    <t>RAM</t>
  </si>
  <si>
    <t>68575426AA</t>
  </si>
  <si>
    <t>68399889AA</t>
  </si>
  <si>
    <t>1FMJK2AT3NEA53302</t>
  </si>
  <si>
    <t>Expedition</t>
  </si>
  <si>
    <t>Customer</t>
  </si>
  <si>
    <t>Aqualink</t>
  </si>
  <si>
    <t>1FTER4FH1PLE13537</t>
  </si>
  <si>
    <t>Ranger</t>
  </si>
  <si>
    <t>Flip Key</t>
  </si>
  <si>
    <t>1FTEW1EP8HFA95531</t>
  </si>
  <si>
    <t>F150</t>
  </si>
  <si>
    <t>1FT8W3BNXTED32174</t>
  </si>
  <si>
    <t>F350</t>
  </si>
  <si>
    <t>4/27/26</t>
  </si>
  <si>
    <t>1GCPYCEFXLZ317225</t>
  </si>
  <si>
    <t>Chevry</t>
  </si>
  <si>
    <t>1GYFZDR41MF000700</t>
  </si>
  <si>
    <t>Cadillac</t>
  </si>
  <si>
    <t>XT4</t>
  </si>
  <si>
    <t>1FTEW1EP0PKE59446</t>
  </si>
  <si>
    <t>Date</t>
  </si>
  <si>
    <t>5/27/26</t>
  </si>
  <si>
    <t>Customer Name</t>
  </si>
  <si>
    <t>Total Parts Cost</t>
  </si>
  <si>
    <t>Chevrolet</t>
  </si>
  <si>
    <t>MTB Landscapig</t>
  </si>
  <si>
    <t>8990H-0E370</t>
  </si>
  <si>
    <t>69515-16110</t>
  </si>
  <si>
    <t>5TDKDRBHXPS010062</t>
  </si>
  <si>
    <t>Highlander</t>
  </si>
  <si>
    <t>72147-TVA-A12</t>
  </si>
  <si>
    <t>35118-T2A-A50</t>
  </si>
  <si>
    <t>1HGCV1F33NA117418</t>
  </si>
  <si>
    <t>1GB3YSE70PF240782</t>
  </si>
  <si>
    <t>KL79MUSL1PB142623</t>
  </si>
  <si>
    <t>5NPEC4AC9DH629746</t>
  </si>
  <si>
    <t>95440-3Q000</t>
  </si>
  <si>
    <t>81996-3S020</t>
  </si>
  <si>
    <t>Hyundai</t>
  </si>
  <si>
    <t>Sonata</t>
  </si>
  <si>
    <t>Trailblazer</t>
  </si>
  <si>
    <t>Slverado</t>
  </si>
  <si>
    <t>Honda</t>
  </si>
  <si>
    <t>Accord</t>
  </si>
  <si>
    <t>4/15/2026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</si>
</sst>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  <charset val="1"/>
      <scheme val="minor"/>
    </font>
    <font>
      <sz val="12"/>
      <color rgb="FF000000"/>
      <name val="Aptos"/>
      <charset val="1"/>
    </font>
    <font>
      <i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8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BE2CD-44E5-49C0-B421-2ADAB672C8D3}">
  <dimension ref="A1:S21"/>
  <sheetViews>
    <sheetView tabSelected="1" workbookViewId="0">
      <selection activeCell="K13" sqref="K13"/>
    </sheetView>
  </sheetViews>
  <sheetFormatPr defaultRowHeight="15" x14ac:dyDescent="0.25"/>
  <cols>
    <col min="1" max="3" width="15.7109375" customWidth="1"/>
    <col min="4" max="4" width="15.7109375" style="10" customWidth="1"/>
    <col min="5" max="5" width="25" customWidth="1"/>
    <col min="6" max="19" width="15.7109375" customWidth="1"/>
  </cols>
  <sheetData>
    <row r="1" spans="1:19" x14ac:dyDescent="0.25">
      <c r="A1" s="7" t="s">
        <v>63</v>
      </c>
      <c r="B1" s="7" t="s">
        <v>0</v>
      </c>
      <c r="C1" s="7" t="s">
        <v>65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66</v>
      </c>
      <c r="O1" s="7" t="s">
        <v>11</v>
      </c>
      <c r="P1" s="7" t="s">
        <v>12</v>
      </c>
      <c r="Q1" s="7" t="s">
        <v>13</v>
      </c>
      <c r="R1" s="7" t="s">
        <v>14</v>
      </c>
      <c r="S1" s="7" t="s">
        <v>15</v>
      </c>
    </row>
    <row r="2" spans="1:19" x14ac:dyDescent="0.25">
      <c r="A2" s="1" t="s">
        <v>56</v>
      </c>
      <c r="B2" s="1" t="s">
        <v>16</v>
      </c>
      <c r="C2" s="1" t="s">
        <v>67</v>
      </c>
      <c r="D2" s="1">
        <v>314380</v>
      </c>
      <c r="E2" s="8" t="s">
        <v>57</v>
      </c>
      <c r="F2" s="1">
        <v>2020</v>
      </c>
      <c r="G2" s="8" t="s">
        <v>58</v>
      </c>
      <c r="H2" s="8" t="s">
        <v>26</v>
      </c>
      <c r="I2" s="1" t="s">
        <v>21</v>
      </c>
      <c r="J2" s="1">
        <v>84209236</v>
      </c>
      <c r="K2" s="1">
        <v>114.02</v>
      </c>
      <c r="L2" s="1">
        <v>13523912</v>
      </c>
      <c r="M2" s="1">
        <v>37.090000000000003</v>
      </c>
      <c r="N2" s="3">
        <f t="shared" ref="N2:N15" si="0">SUM(K2,M2)</f>
        <v>151.11000000000001</v>
      </c>
      <c r="O2" s="3">
        <v>60</v>
      </c>
      <c r="P2" s="3">
        <f>SUM(N2:O2)</f>
        <v>211.11</v>
      </c>
      <c r="Q2" s="3">
        <f t="shared" ref="Q2:Q15" si="1">ROUND(N2*0.3,0)</f>
        <v>45</v>
      </c>
      <c r="R2" s="3">
        <f t="shared" ref="R2:R4" si="2">P2-Q2</f>
        <v>166.11</v>
      </c>
      <c r="S2" s="1" t="s">
        <v>27</v>
      </c>
    </row>
    <row r="3" spans="1:19" x14ac:dyDescent="0.25">
      <c r="A3" s="1" t="s">
        <v>64</v>
      </c>
      <c r="B3" s="1" t="s">
        <v>16</v>
      </c>
      <c r="C3" s="1" t="s">
        <v>67</v>
      </c>
      <c r="D3" s="8">
        <v>314326</v>
      </c>
      <c r="E3" s="8" t="s">
        <v>59</v>
      </c>
      <c r="F3" s="8">
        <v>2021</v>
      </c>
      <c r="G3" s="8" t="s">
        <v>60</v>
      </c>
      <c r="H3" s="8" t="s">
        <v>61</v>
      </c>
      <c r="I3" s="1" t="s">
        <v>21</v>
      </c>
      <c r="J3" s="1">
        <v>13544052</v>
      </c>
      <c r="K3" s="1">
        <v>102.95</v>
      </c>
      <c r="L3" s="1">
        <v>22984994</v>
      </c>
      <c r="M3" s="1">
        <v>52.18</v>
      </c>
      <c r="N3" s="3">
        <f t="shared" si="0"/>
        <v>155.13</v>
      </c>
      <c r="O3" s="3">
        <v>60</v>
      </c>
      <c r="P3" s="3">
        <f t="shared" ref="P3:P15" si="3">SUM(N3:O3)</f>
        <v>215.13</v>
      </c>
      <c r="Q3" s="3">
        <f t="shared" si="1"/>
        <v>47</v>
      </c>
      <c r="R3" s="3">
        <f t="shared" si="2"/>
        <v>168.13</v>
      </c>
      <c r="S3" s="1" t="s">
        <v>27</v>
      </c>
    </row>
    <row r="4" spans="1:19" x14ac:dyDescent="0.25">
      <c r="A4" s="1" t="s">
        <v>64</v>
      </c>
      <c r="B4" s="1" t="s">
        <v>16</v>
      </c>
      <c r="C4" s="1" t="s">
        <v>17</v>
      </c>
      <c r="D4" s="1">
        <v>314379</v>
      </c>
      <c r="E4" s="8" t="s">
        <v>62</v>
      </c>
      <c r="F4" s="1">
        <v>2023</v>
      </c>
      <c r="G4" s="1" t="s">
        <v>19</v>
      </c>
      <c r="H4" s="1" t="s">
        <v>53</v>
      </c>
      <c r="I4" s="1" t="s">
        <v>21</v>
      </c>
      <c r="J4" s="1">
        <v>5929503</v>
      </c>
      <c r="K4" s="1">
        <v>148.5</v>
      </c>
      <c r="L4" s="1">
        <v>5939649</v>
      </c>
      <c r="M4" s="1">
        <v>36.29</v>
      </c>
      <c r="N4" s="3">
        <f t="shared" si="0"/>
        <v>184.79</v>
      </c>
      <c r="O4" s="3">
        <v>60</v>
      </c>
      <c r="P4" s="3">
        <f t="shared" si="3"/>
        <v>244.79</v>
      </c>
      <c r="Q4" s="3">
        <f t="shared" si="1"/>
        <v>55</v>
      </c>
      <c r="R4" s="3">
        <f t="shared" si="2"/>
        <v>189.79</v>
      </c>
      <c r="S4" s="1" t="s">
        <v>27</v>
      </c>
    </row>
    <row r="5" spans="1:19" x14ac:dyDescent="0.25">
      <c r="A5" s="1" t="s">
        <v>64</v>
      </c>
      <c r="B5" s="1" t="s">
        <v>47</v>
      </c>
      <c r="C5" s="1" t="s">
        <v>68</v>
      </c>
      <c r="D5" s="1">
        <v>314397</v>
      </c>
      <c r="E5" s="8" t="s">
        <v>54</v>
      </c>
      <c r="F5" s="1">
        <v>2026</v>
      </c>
      <c r="G5" s="1" t="s">
        <v>19</v>
      </c>
      <c r="H5" s="1" t="s">
        <v>55</v>
      </c>
      <c r="I5" s="1" t="s">
        <v>51</v>
      </c>
      <c r="J5" s="1">
        <v>5945864</v>
      </c>
      <c r="K5" s="1">
        <v>128.69999999999999</v>
      </c>
      <c r="L5" s="9" t="s">
        <v>33</v>
      </c>
      <c r="M5" s="9" t="s">
        <v>33</v>
      </c>
      <c r="N5" s="3">
        <f t="shared" si="0"/>
        <v>128.69999999999999</v>
      </c>
      <c r="O5" s="3">
        <v>60</v>
      </c>
      <c r="P5" s="3">
        <f t="shared" si="3"/>
        <v>188.7</v>
      </c>
      <c r="Q5" s="3">
        <f t="shared" si="1"/>
        <v>39</v>
      </c>
      <c r="R5" s="3">
        <f>P5-Q5</f>
        <v>149.69999999999999</v>
      </c>
      <c r="S5" s="1" t="s">
        <v>27</v>
      </c>
    </row>
    <row r="6" spans="1:19" x14ac:dyDescent="0.25">
      <c r="A6" s="2">
        <v>46027</v>
      </c>
      <c r="B6" s="1" t="s">
        <v>16</v>
      </c>
      <c r="C6" s="1" t="s">
        <v>30</v>
      </c>
      <c r="D6" s="1">
        <v>314398</v>
      </c>
      <c r="E6" s="8" t="s">
        <v>52</v>
      </c>
      <c r="F6" s="1">
        <v>2017</v>
      </c>
      <c r="G6" s="1" t="s">
        <v>19</v>
      </c>
      <c r="H6" s="1" t="s">
        <v>53</v>
      </c>
      <c r="I6" s="1" t="s">
        <v>21</v>
      </c>
      <c r="J6" s="1">
        <v>5926054</v>
      </c>
      <c r="K6" s="3">
        <v>165</v>
      </c>
      <c r="L6" s="1">
        <v>4223891</v>
      </c>
      <c r="M6" s="3">
        <v>30.31</v>
      </c>
      <c r="N6" s="3">
        <f t="shared" si="0"/>
        <v>195.31</v>
      </c>
      <c r="O6" s="3">
        <v>60</v>
      </c>
      <c r="P6" s="3">
        <f t="shared" si="3"/>
        <v>255.31</v>
      </c>
      <c r="Q6" s="3">
        <f t="shared" si="1"/>
        <v>59</v>
      </c>
      <c r="R6" s="3">
        <f>P6-Q6</f>
        <v>196.31</v>
      </c>
      <c r="S6" s="1" t="s">
        <v>27</v>
      </c>
    </row>
    <row r="7" spans="1:19" x14ac:dyDescent="0.25">
      <c r="A7" s="2">
        <v>46208</v>
      </c>
      <c r="B7" s="1" t="s">
        <v>16</v>
      </c>
      <c r="C7" s="1" t="s">
        <v>17</v>
      </c>
      <c r="D7" s="1">
        <v>314504</v>
      </c>
      <c r="E7" s="1" t="s">
        <v>18</v>
      </c>
      <c r="F7" s="1">
        <v>2022</v>
      </c>
      <c r="G7" s="1" t="s">
        <v>19</v>
      </c>
      <c r="H7" s="1" t="s">
        <v>20</v>
      </c>
      <c r="I7" s="1" t="s">
        <v>21</v>
      </c>
      <c r="J7" s="1">
        <v>5933985</v>
      </c>
      <c r="K7" s="3">
        <v>157.25</v>
      </c>
      <c r="L7" s="1">
        <v>5929522</v>
      </c>
      <c r="M7" s="3">
        <v>36.29</v>
      </c>
      <c r="N7" s="3">
        <f t="shared" si="0"/>
        <v>193.54</v>
      </c>
      <c r="O7" s="3">
        <v>60</v>
      </c>
      <c r="P7" s="3">
        <f t="shared" si="3"/>
        <v>253.54</v>
      </c>
      <c r="Q7" s="3">
        <f t="shared" si="1"/>
        <v>58</v>
      </c>
      <c r="R7" s="3">
        <f t="shared" ref="R7:R15" si="4">P7-Q7</f>
        <v>195.54</v>
      </c>
      <c r="S7" s="1" t="s">
        <v>22</v>
      </c>
    </row>
    <row r="8" spans="1:19" x14ac:dyDescent="0.25">
      <c r="A8" s="2">
        <v>46208</v>
      </c>
      <c r="B8" s="1" t="s">
        <v>16</v>
      </c>
      <c r="C8" s="1" t="s">
        <v>67</v>
      </c>
      <c r="D8" s="1">
        <v>314503</v>
      </c>
      <c r="E8" s="1" t="s">
        <v>24</v>
      </c>
      <c r="F8" s="1">
        <v>2021</v>
      </c>
      <c r="G8" s="1" t="s">
        <v>19</v>
      </c>
      <c r="H8" s="1" t="s">
        <v>20</v>
      </c>
      <c r="I8" s="1" t="s">
        <v>21</v>
      </c>
      <c r="J8" s="1">
        <v>5933985</v>
      </c>
      <c r="K8" s="3">
        <v>157.25</v>
      </c>
      <c r="L8" s="1">
        <v>5929522</v>
      </c>
      <c r="M8" s="3">
        <v>36.29</v>
      </c>
      <c r="N8" s="3">
        <f t="shared" si="0"/>
        <v>193.54</v>
      </c>
      <c r="O8" s="3">
        <v>60</v>
      </c>
      <c r="P8" s="3">
        <f t="shared" si="3"/>
        <v>253.54</v>
      </c>
      <c r="Q8" s="3">
        <f t="shared" si="1"/>
        <v>58</v>
      </c>
      <c r="R8" s="3">
        <f t="shared" si="4"/>
        <v>195.54</v>
      </c>
      <c r="S8" s="1" t="s">
        <v>22</v>
      </c>
    </row>
    <row r="9" spans="1:19" x14ac:dyDescent="0.25">
      <c r="A9" s="2">
        <v>46208</v>
      </c>
      <c r="B9" s="1" t="s">
        <v>16</v>
      </c>
      <c r="C9" s="1" t="s">
        <v>67</v>
      </c>
      <c r="D9" s="1">
        <v>314502</v>
      </c>
      <c r="E9" s="1" t="s">
        <v>25</v>
      </c>
      <c r="F9" s="1">
        <v>2024</v>
      </c>
      <c r="G9" s="1" t="s">
        <v>23</v>
      </c>
      <c r="H9" s="1" t="s">
        <v>26</v>
      </c>
      <c r="I9" s="1" t="s">
        <v>21</v>
      </c>
      <c r="J9" s="1">
        <v>13560205</v>
      </c>
      <c r="K9" s="3">
        <v>106.46</v>
      </c>
      <c r="L9" s="3">
        <v>1356164</v>
      </c>
      <c r="M9" s="3">
        <v>66.31</v>
      </c>
      <c r="N9" s="3">
        <f t="shared" si="0"/>
        <v>172.76999999999998</v>
      </c>
      <c r="O9" s="3">
        <v>60</v>
      </c>
      <c r="P9" s="3">
        <f t="shared" si="3"/>
        <v>232.76999999999998</v>
      </c>
      <c r="Q9" s="3">
        <f t="shared" si="1"/>
        <v>52</v>
      </c>
      <c r="R9" s="3">
        <f t="shared" si="4"/>
        <v>180.76999999999998</v>
      </c>
      <c r="S9" s="1" t="s">
        <v>27</v>
      </c>
    </row>
    <row r="10" spans="1:19" x14ac:dyDescent="0.25">
      <c r="A10" s="2">
        <v>46208</v>
      </c>
      <c r="B10" s="1" t="s">
        <v>16</v>
      </c>
      <c r="C10" s="1" t="s">
        <v>28</v>
      </c>
      <c r="D10" s="1">
        <v>314534</v>
      </c>
      <c r="E10" s="4" t="s">
        <v>29</v>
      </c>
      <c r="F10" s="1">
        <v>2001</v>
      </c>
      <c r="G10" s="1" t="s">
        <v>30</v>
      </c>
      <c r="H10" s="1" t="s">
        <v>31</v>
      </c>
      <c r="I10" s="1" t="s">
        <v>32</v>
      </c>
      <c r="J10" s="1" t="s">
        <v>33</v>
      </c>
      <c r="K10" s="1" t="s">
        <v>34</v>
      </c>
      <c r="L10" s="1" t="s">
        <v>35</v>
      </c>
      <c r="M10" s="3">
        <v>6.04</v>
      </c>
      <c r="N10" s="3">
        <f t="shared" si="0"/>
        <v>6.04</v>
      </c>
      <c r="O10" s="3">
        <v>60</v>
      </c>
      <c r="P10" s="3">
        <f t="shared" si="3"/>
        <v>66.040000000000006</v>
      </c>
      <c r="Q10" s="3">
        <f t="shared" si="1"/>
        <v>2</v>
      </c>
      <c r="R10" s="3">
        <f t="shared" si="4"/>
        <v>64.040000000000006</v>
      </c>
      <c r="S10" s="1" t="s">
        <v>27</v>
      </c>
    </row>
    <row r="11" spans="1:19" ht="15.75" x14ac:dyDescent="0.25">
      <c r="A11" s="2">
        <v>46208</v>
      </c>
      <c r="B11" s="1" t="s">
        <v>16</v>
      </c>
      <c r="C11" s="1" t="s">
        <v>28</v>
      </c>
      <c r="D11" s="1">
        <v>314531</v>
      </c>
      <c r="E11" s="5" t="s">
        <v>36</v>
      </c>
      <c r="F11" s="1">
        <v>2016</v>
      </c>
      <c r="G11" s="1" t="s">
        <v>37</v>
      </c>
      <c r="H11" s="1" t="s">
        <v>38</v>
      </c>
      <c r="I11" s="1" t="s">
        <v>21</v>
      </c>
      <c r="J11" s="1" t="s">
        <v>39</v>
      </c>
      <c r="K11" s="3">
        <v>139.69999999999999</v>
      </c>
      <c r="L11" s="1" t="s">
        <v>40</v>
      </c>
      <c r="M11" s="3">
        <v>43.12</v>
      </c>
      <c r="N11" s="3">
        <f t="shared" si="0"/>
        <v>182.82</v>
      </c>
      <c r="O11" s="3">
        <v>60</v>
      </c>
      <c r="P11" s="3">
        <f t="shared" si="3"/>
        <v>242.82</v>
      </c>
      <c r="Q11" s="3">
        <f t="shared" si="1"/>
        <v>55</v>
      </c>
      <c r="R11" s="3">
        <f t="shared" si="4"/>
        <v>187.82</v>
      </c>
      <c r="S11" s="1" t="s">
        <v>27</v>
      </c>
    </row>
    <row r="12" spans="1:19" ht="15.75" x14ac:dyDescent="0.25">
      <c r="A12" s="2">
        <v>46331</v>
      </c>
      <c r="B12" s="1" t="s">
        <v>16</v>
      </c>
      <c r="C12" s="1" t="s">
        <v>67</v>
      </c>
      <c r="D12" s="1">
        <v>314571</v>
      </c>
      <c r="E12" s="5" t="s">
        <v>41</v>
      </c>
      <c r="F12" s="1">
        <v>2024</v>
      </c>
      <c r="G12" s="1" t="s">
        <v>42</v>
      </c>
      <c r="H12" s="1">
        <v>2500</v>
      </c>
      <c r="I12" s="1" t="s">
        <v>21</v>
      </c>
      <c r="J12" s="1" t="s">
        <v>43</v>
      </c>
      <c r="K12" s="3">
        <v>64.02</v>
      </c>
      <c r="L12" s="1" t="s">
        <v>44</v>
      </c>
      <c r="M12" s="3">
        <v>29.81</v>
      </c>
      <c r="N12" s="3">
        <f t="shared" si="0"/>
        <v>93.83</v>
      </c>
      <c r="O12" s="3">
        <v>60</v>
      </c>
      <c r="P12" s="3">
        <f t="shared" si="3"/>
        <v>153.82999999999998</v>
      </c>
      <c r="Q12" s="3">
        <f t="shared" si="1"/>
        <v>28</v>
      </c>
      <c r="R12" s="3">
        <f t="shared" si="4"/>
        <v>125.82999999999998</v>
      </c>
      <c r="S12" s="1" t="s">
        <v>27</v>
      </c>
    </row>
    <row r="13" spans="1:19" ht="15.75" x14ac:dyDescent="0.25">
      <c r="A13" s="2">
        <v>46331</v>
      </c>
      <c r="B13" s="1" t="s">
        <v>16</v>
      </c>
      <c r="C13" s="1" t="s">
        <v>17</v>
      </c>
      <c r="D13" s="1">
        <v>314572</v>
      </c>
      <c r="E13" s="5" t="s">
        <v>18</v>
      </c>
      <c r="F13" s="1">
        <v>2022</v>
      </c>
      <c r="G13" s="1" t="s">
        <v>19</v>
      </c>
      <c r="H13" s="1" t="s">
        <v>20</v>
      </c>
      <c r="I13" s="1" t="s">
        <v>21</v>
      </c>
      <c r="J13" s="1">
        <v>5933985</v>
      </c>
      <c r="K13" s="3">
        <v>157.25</v>
      </c>
      <c r="L13" s="1">
        <v>5929522</v>
      </c>
      <c r="M13" s="3">
        <v>36.29</v>
      </c>
      <c r="N13" s="3">
        <f t="shared" si="0"/>
        <v>193.54</v>
      </c>
      <c r="O13" s="3">
        <v>60</v>
      </c>
      <c r="P13" s="3">
        <f t="shared" si="3"/>
        <v>253.54</v>
      </c>
      <c r="Q13" s="3">
        <f t="shared" si="1"/>
        <v>58</v>
      </c>
      <c r="R13" s="3">
        <f t="shared" si="4"/>
        <v>195.54</v>
      </c>
      <c r="S13" s="1" t="s">
        <v>22</v>
      </c>
    </row>
    <row r="14" spans="1:19" ht="15.75" x14ac:dyDescent="0.25">
      <c r="A14" s="2">
        <v>46331</v>
      </c>
      <c r="B14" s="1" t="s">
        <v>16</v>
      </c>
      <c r="C14" s="1" t="s">
        <v>17</v>
      </c>
      <c r="D14" s="1">
        <v>314573</v>
      </c>
      <c r="E14" s="5" t="s">
        <v>45</v>
      </c>
      <c r="F14" s="1">
        <v>2022</v>
      </c>
      <c r="G14" s="1" t="s">
        <v>19</v>
      </c>
      <c r="H14" s="1" t="s">
        <v>46</v>
      </c>
      <c r="I14" s="1" t="s">
        <v>21</v>
      </c>
      <c r="J14" s="1">
        <v>5943669</v>
      </c>
      <c r="K14" s="3">
        <v>160.88</v>
      </c>
      <c r="L14" s="1">
        <v>5929522</v>
      </c>
      <c r="M14" s="3">
        <v>36.29</v>
      </c>
      <c r="N14" s="3">
        <f t="shared" si="0"/>
        <v>197.17</v>
      </c>
      <c r="O14" s="3">
        <v>60</v>
      </c>
      <c r="P14" s="3">
        <f t="shared" si="3"/>
        <v>257.16999999999996</v>
      </c>
      <c r="Q14" s="3">
        <f t="shared" si="1"/>
        <v>59</v>
      </c>
      <c r="R14" s="3">
        <f t="shared" si="4"/>
        <v>198.16999999999996</v>
      </c>
      <c r="S14" s="1" t="s">
        <v>22</v>
      </c>
    </row>
    <row r="15" spans="1:19" ht="15.75" x14ac:dyDescent="0.25">
      <c r="A15" s="2">
        <v>46331</v>
      </c>
      <c r="B15" s="1" t="s">
        <v>47</v>
      </c>
      <c r="C15" s="1" t="s">
        <v>48</v>
      </c>
      <c r="D15" s="1" t="s">
        <v>33</v>
      </c>
      <c r="E15" s="5" t="s">
        <v>49</v>
      </c>
      <c r="F15" s="1">
        <v>2023</v>
      </c>
      <c r="G15" s="1" t="s">
        <v>19</v>
      </c>
      <c r="H15" s="1" t="s">
        <v>50</v>
      </c>
      <c r="I15" s="1" t="s">
        <v>51</v>
      </c>
      <c r="J15" s="1">
        <v>5923694</v>
      </c>
      <c r="K15" s="3">
        <v>134.19999999999999</v>
      </c>
      <c r="L15" s="1" t="s">
        <v>33</v>
      </c>
      <c r="M15" s="1" t="s">
        <v>33</v>
      </c>
      <c r="N15" s="3">
        <f t="shared" si="0"/>
        <v>134.19999999999999</v>
      </c>
      <c r="O15" s="3">
        <v>60</v>
      </c>
      <c r="P15" s="3">
        <f t="shared" si="3"/>
        <v>194.2</v>
      </c>
      <c r="Q15" s="3">
        <f t="shared" si="1"/>
        <v>40</v>
      </c>
      <c r="R15" s="3">
        <f t="shared" si="4"/>
        <v>154.19999999999999</v>
      </c>
      <c r="S15" s="6" t="s">
        <v>27</v>
      </c>
    </row>
    <row r="17" spans="1:19" s="10" customFormat="1" ht="15.75" x14ac:dyDescent="0.25">
      <c r="A17" s="10" t="s">
        <v>87</v>
      </c>
      <c r="B17" s="1" t="s">
        <v>16</v>
      </c>
      <c r="C17" s="1" t="s">
        <v>67</v>
      </c>
      <c r="D17" s="11" t="s">
        <v>33</v>
      </c>
      <c r="E17" s="5" t="s">
        <v>71</v>
      </c>
      <c r="F17" s="1">
        <v>2023</v>
      </c>
      <c r="G17" s="1" t="s">
        <v>30</v>
      </c>
      <c r="H17" s="1" t="s">
        <v>72</v>
      </c>
      <c r="I17" s="1" t="s">
        <v>21</v>
      </c>
      <c r="J17" s="10" t="s">
        <v>69</v>
      </c>
      <c r="K17" s="3">
        <v>135.62</v>
      </c>
      <c r="L17" s="10" t="s">
        <v>70</v>
      </c>
      <c r="M17" s="3">
        <v>24.19</v>
      </c>
      <c r="N17" s="3">
        <f t="shared" ref="N17:N21" si="5">SUM(K17,M17)</f>
        <v>159.81</v>
      </c>
      <c r="O17" s="3">
        <v>60</v>
      </c>
      <c r="P17" s="3">
        <f t="shared" ref="P17:P21" si="6">SUM(N17:O17)</f>
        <v>219.81</v>
      </c>
      <c r="Q17" s="3">
        <f t="shared" ref="Q17:Q21" si="7">ROUND(N17*0.3,0)</f>
        <v>48</v>
      </c>
      <c r="R17" s="3">
        <f t="shared" ref="R17:R21" si="8">P17-Q17</f>
        <v>171.81</v>
      </c>
      <c r="S17" s="6" t="s">
        <v>27</v>
      </c>
    </row>
    <row r="18" spans="1:19" s="10" customFormat="1" ht="15.75" x14ac:dyDescent="0.25">
      <c r="A18" s="10" t="s">
        <v>87</v>
      </c>
      <c r="B18" s="1" t="s">
        <v>16</v>
      </c>
      <c r="C18" s="1" t="s">
        <v>67</v>
      </c>
      <c r="D18" s="10">
        <v>314276</v>
      </c>
      <c r="E18" s="5" t="s">
        <v>75</v>
      </c>
      <c r="F18" s="1">
        <v>2022</v>
      </c>
      <c r="G18" s="1" t="s">
        <v>85</v>
      </c>
      <c r="H18" s="1" t="s">
        <v>86</v>
      </c>
      <c r="I18" s="1" t="s">
        <v>21</v>
      </c>
      <c r="J18" s="10" t="s">
        <v>73</v>
      </c>
      <c r="K18" s="3">
        <v>84.88</v>
      </c>
      <c r="L18" s="10" t="s">
        <v>74</v>
      </c>
      <c r="M18" s="3">
        <v>28.63</v>
      </c>
      <c r="N18" s="3">
        <f t="shared" si="5"/>
        <v>113.50999999999999</v>
      </c>
      <c r="O18" s="3">
        <v>60</v>
      </c>
      <c r="P18" s="3">
        <f t="shared" si="6"/>
        <v>173.51</v>
      </c>
      <c r="Q18" s="3">
        <f t="shared" si="7"/>
        <v>34</v>
      </c>
      <c r="R18" s="3">
        <f t="shared" si="8"/>
        <v>139.51</v>
      </c>
      <c r="S18" s="6" t="s">
        <v>27</v>
      </c>
    </row>
    <row r="19" spans="1:19" s="10" customFormat="1" ht="15.75" x14ac:dyDescent="0.25">
      <c r="A19" s="10" t="s">
        <v>87</v>
      </c>
      <c r="B19" s="1" t="s">
        <v>16</v>
      </c>
      <c r="C19" s="1" t="s">
        <v>67</v>
      </c>
      <c r="D19" s="10">
        <v>314277</v>
      </c>
      <c r="E19" s="5" t="s">
        <v>76</v>
      </c>
      <c r="F19" s="10">
        <v>2023</v>
      </c>
      <c r="G19" s="1" t="s">
        <v>23</v>
      </c>
      <c r="H19" s="1" t="s">
        <v>84</v>
      </c>
      <c r="I19" s="1" t="s">
        <v>21</v>
      </c>
      <c r="J19" s="10">
        <v>13577765</v>
      </c>
      <c r="K19" s="3">
        <v>64.17</v>
      </c>
      <c r="L19" s="10">
        <v>13523912</v>
      </c>
      <c r="M19" s="3">
        <v>37.090000000000003</v>
      </c>
      <c r="N19" s="3">
        <f t="shared" si="5"/>
        <v>101.26</v>
      </c>
      <c r="O19" s="3">
        <v>60</v>
      </c>
      <c r="P19" s="3">
        <f t="shared" si="6"/>
        <v>161.26</v>
      </c>
      <c r="Q19" s="3">
        <f t="shared" si="7"/>
        <v>30</v>
      </c>
      <c r="R19" s="3">
        <f t="shared" si="8"/>
        <v>131.26</v>
      </c>
      <c r="S19" s="6" t="s">
        <v>27</v>
      </c>
    </row>
    <row r="20" spans="1:19" s="10" customFormat="1" ht="15.75" x14ac:dyDescent="0.25">
      <c r="A20" s="10" t="s">
        <v>87</v>
      </c>
      <c r="B20" s="1" t="s">
        <v>16</v>
      </c>
      <c r="C20" s="1" t="s">
        <v>67</v>
      </c>
      <c r="D20" s="10">
        <v>314275</v>
      </c>
      <c r="E20" s="5" t="s">
        <v>77</v>
      </c>
      <c r="F20" s="10">
        <v>2023</v>
      </c>
      <c r="G20" s="10" t="s">
        <v>23</v>
      </c>
      <c r="H20" s="10" t="s">
        <v>83</v>
      </c>
      <c r="I20" s="1" t="s">
        <v>21</v>
      </c>
      <c r="J20" s="10">
        <v>13547830</v>
      </c>
      <c r="K20" s="3">
        <v>94.3</v>
      </c>
      <c r="L20" s="10">
        <v>13523213</v>
      </c>
      <c r="M20" s="3">
        <v>52.18</v>
      </c>
      <c r="N20" s="3">
        <f t="shared" si="5"/>
        <v>146.47999999999999</v>
      </c>
      <c r="O20" s="3">
        <v>60</v>
      </c>
      <c r="P20" s="3">
        <f t="shared" si="6"/>
        <v>206.48</v>
      </c>
      <c r="Q20" s="3">
        <f t="shared" si="7"/>
        <v>44</v>
      </c>
      <c r="R20" s="3">
        <f t="shared" si="8"/>
        <v>162.47999999999999</v>
      </c>
      <c r="S20" s="6" t="s">
        <v>27</v>
      </c>
    </row>
    <row r="21" spans="1:19" s="10" customFormat="1" ht="15.75" x14ac:dyDescent="0.25">
      <c r="A21" s="10" t="s">
        <v>87</v>
      </c>
      <c r="B21" s="1" t="s">
        <v>16</v>
      </c>
      <c r="C21" s="10" t="s">
        <v>81</v>
      </c>
      <c r="D21" s="10">
        <v>314121</v>
      </c>
      <c r="E21" s="5" t="s">
        <v>78</v>
      </c>
      <c r="F21" s="10">
        <v>2013</v>
      </c>
      <c r="G21" s="10" t="s">
        <v>81</v>
      </c>
      <c r="H21" s="10" t="s">
        <v>82</v>
      </c>
      <c r="I21" s="1" t="s">
        <v>21</v>
      </c>
      <c r="J21" s="10" t="s">
        <v>79</v>
      </c>
      <c r="K21" s="3">
        <v>352.32</v>
      </c>
      <c r="L21" s="10" t="s">
        <v>80</v>
      </c>
      <c r="M21" s="3">
        <v>19.82</v>
      </c>
      <c r="N21" s="3">
        <f t="shared" si="5"/>
        <v>372.14</v>
      </c>
      <c r="O21" s="3">
        <v>60</v>
      </c>
      <c r="P21" s="3">
        <f t="shared" si="6"/>
        <v>432.14</v>
      </c>
      <c r="Q21" s="3">
        <f t="shared" si="7"/>
        <v>112</v>
      </c>
      <c r="R21" s="3">
        <f t="shared" si="8"/>
        <v>320.14</v>
      </c>
      <c r="S21" s="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Gilbert</dc:creator>
  <cp:lastModifiedBy>Chris Gilbert</cp:lastModifiedBy>
  <dcterms:created xsi:type="dcterms:W3CDTF">2026-05-13T00:10:17Z</dcterms:created>
  <dcterms:modified xsi:type="dcterms:W3CDTF">2026-05-13T01:13:09Z</dcterms:modified>
</cp:coreProperties>
</file>